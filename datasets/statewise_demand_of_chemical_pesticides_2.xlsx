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 defaultThemeVersion="124226"/>
  <bookViews>
    <workbookView xWindow="10980" yWindow="105" windowWidth="12900" windowHeight="9885"/>
  </bookViews>
  <sheets>
    <sheet name="WebMaterialNov25" sheetId="12" r:id="rId1"/>
  </sheets>
  <definedNames>
    <definedName name="_xlnm.Print_Area" localSheetId="0">WebMaterialNov25!$A$1:$H$47</definedName>
  </definedNames>
  <calcPr calcId="144525"/>
</workbook>
</file>

<file path=xl/calcChain.xml><?xml version="1.0" encoding="utf-8"?>
<calcChain xmlns="http://schemas.openxmlformats.org/spreadsheetml/2006/main">
  <c r="C45" i="12" l="1"/>
  <c r="D45" i="12"/>
  <c r="E45" i="12"/>
  <c r="F45" i="12"/>
  <c r="G45" i="12"/>
  <c r="H45" i="12"/>
  <c r="G26" i="12"/>
  <c r="H26" i="12"/>
  <c r="C36" i="12"/>
  <c r="D36" i="12"/>
  <c r="E36" i="12"/>
  <c r="F36" i="12"/>
  <c r="G36" i="12"/>
  <c r="H36" i="12"/>
  <c r="C26" i="12"/>
  <c r="D26" i="12"/>
  <c r="E26" i="12"/>
  <c r="F26" i="12"/>
</calcChain>
</file>

<file path=xl/sharedStrings.xml><?xml version="1.0" encoding="utf-8"?>
<sst xmlns="http://schemas.openxmlformats.org/spreadsheetml/2006/main" count="107" uniqueCount="53">
  <si>
    <t>Lakshadweep</t>
  </si>
  <si>
    <t>Delhi</t>
  </si>
  <si>
    <t>Chandigarh</t>
  </si>
  <si>
    <t>A &amp; N Islands</t>
  </si>
  <si>
    <t>West Bengal</t>
  </si>
  <si>
    <t>Uttar Pradesh</t>
  </si>
  <si>
    <t>Tamil Nadu</t>
  </si>
  <si>
    <t>Sikkim</t>
  </si>
  <si>
    <t>Rajasthan</t>
  </si>
  <si>
    <t>Punjab</t>
  </si>
  <si>
    <t>Orissa</t>
  </si>
  <si>
    <t>Mizoram</t>
  </si>
  <si>
    <t>Meghalaya</t>
  </si>
  <si>
    <t>Manipur</t>
  </si>
  <si>
    <t>Maharashtra</t>
  </si>
  <si>
    <t>Madhya Pradesh</t>
  </si>
  <si>
    <t>Kerala</t>
  </si>
  <si>
    <t>Karnataka</t>
  </si>
  <si>
    <t>Jharkhand</t>
  </si>
  <si>
    <t>Himachal Pradesh</t>
  </si>
  <si>
    <t>Gujarat</t>
  </si>
  <si>
    <t>Chhattisgarh</t>
  </si>
  <si>
    <t>Bihar</t>
  </si>
  <si>
    <t>Arunachal Pradesh</t>
  </si>
  <si>
    <t>Assam</t>
  </si>
  <si>
    <t>Andhra Pradesh</t>
  </si>
  <si>
    <t>North-Eastern</t>
  </si>
  <si>
    <t>Union Territories</t>
  </si>
  <si>
    <t>SUB TOTAL</t>
  </si>
  <si>
    <t>GRAND TOTAL</t>
  </si>
  <si>
    <t>Uttarakhand</t>
  </si>
  <si>
    <t>S. No.</t>
  </si>
  <si>
    <t>Telangana</t>
  </si>
  <si>
    <t>NR</t>
  </si>
  <si>
    <t>Ladakh</t>
  </si>
  <si>
    <t>Organic State</t>
  </si>
  <si>
    <t>Dadra &amp; Nagar Haveli &amp; Daman &amp; Diu</t>
  </si>
  <si>
    <t>States/UTs</t>
  </si>
  <si>
    <t>2020-21</t>
  </si>
  <si>
    <t>2021-22</t>
  </si>
  <si>
    <t>Goa</t>
  </si>
  <si>
    <t>Haryana</t>
  </si>
  <si>
    <t>Jammu &amp; Kashmir</t>
  </si>
  <si>
    <t xml:space="preserve">2022-23 </t>
  </si>
  <si>
    <t xml:space="preserve">2023-24 </t>
  </si>
  <si>
    <t>Nagaland</t>
  </si>
  <si>
    <t>Tripura</t>
  </si>
  <si>
    <r>
      <t xml:space="preserve">Source: </t>
    </r>
    <r>
      <rPr>
        <sz val="11"/>
        <rFont val="Times New Roman"/>
        <family val="1"/>
      </rPr>
      <t>State/UTs Reports on inputs of Plant Protection for Kharif &amp; Rabi Seasons.</t>
    </r>
  </si>
  <si>
    <t>2024-25</t>
  </si>
  <si>
    <t>Pondicherry</t>
  </si>
  <si>
    <t xml:space="preserve">ESTIMATED DEMAND OF CHEMICAL PESTICIDES IN VARIOUS STATES </t>
  </si>
  <si>
    <t>Projected Demand for 2025-26</t>
  </si>
  <si>
    <t>Unit: MT Formulation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</si>
</sst>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8">
    <xf numFmtId="0" fontId="0" fillId="0" borderId="0" xfId="0"/>
    <xf numFmtId="1" fontId="2" fillId="0" borderId="0" xfId="0" applyNumberFormat="1" applyFont="1" applyFill="1" applyAlignment="1">
      <alignment vertical="center"/>
    </xf>
    <xf numFmtId="1" fontId="3" fillId="0" borderId="1" xfId="0" applyNumberFormat="1" applyFont="1" applyFill="1" applyBorder="1" applyAlignment="1">
      <alignment horizontal="right"/>
    </xf>
    <xf numFmtId="1" fontId="3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justify" vertical="center" wrapText="1"/>
    </xf>
    <xf numFmtId="1" fontId="3" fillId="0" borderId="3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justify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right"/>
    </xf>
    <xf numFmtId="0" fontId="2" fillId="0" borderId="0" xfId="0" applyFont="1" applyFill="1" applyAlignment="1">
      <alignment horizontal="center" vertical="center"/>
    </xf>
    <xf numFmtId="1" fontId="7" fillId="0" borderId="4" xfId="0" applyNumberFormat="1" applyFont="1" applyFill="1" applyBorder="1" applyAlignment="1">
      <alignment wrapText="1"/>
    </xf>
    <xf numFmtId="1" fontId="3" fillId="0" borderId="0" xfId="0" applyNumberFormat="1" applyFont="1" applyFill="1" applyAlignment="1"/>
    <xf numFmtId="0" fontId="2" fillId="0" borderId="0" xfId="0" applyFont="1" applyFill="1" applyAlignment="1">
      <alignment horizontal="left"/>
    </xf>
    <xf numFmtId="1" fontId="2" fillId="0" borderId="0" xfId="0" applyNumberFormat="1" applyFont="1" applyFill="1"/>
    <xf numFmtId="1" fontId="6" fillId="0" borderId="0" xfId="0" applyNumberFormat="1" applyFont="1" applyFill="1"/>
    <xf numFmtId="0" fontId="2" fillId="0" borderId="0" xfId="0" applyFont="1" applyFill="1" applyAlignment="1">
      <alignment horizontal="center"/>
    </xf>
    <xf numFmtId="1" fontId="6" fillId="0" borderId="0" xfId="0" applyNumberFormat="1" applyFont="1" applyFill="1" applyAlignment="1"/>
    <xf numFmtId="1" fontId="2" fillId="0" borderId="0" xfId="0" applyNumberFormat="1" applyFont="1" applyFill="1" applyAlignment="1"/>
    <xf numFmtId="1" fontId="5" fillId="0" borderId="0" xfId="0" applyNumberFormat="1" applyFont="1" applyFill="1" applyAlignment="1"/>
    <xf numFmtId="0" fontId="9" fillId="0" borderId="0" xfId="0" applyFont="1" applyFill="1" applyAlignment="1">
      <alignment vertical="center"/>
    </xf>
    <xf numFmtId="0" fontId="5" fillId="0" borderId="0" xfId="0" applyFont="1" applyFill="1"/>
    <xf numFmtId="0" fontId="8" fillId="0" borderId="1" xfId="0" applyFont="1" applyFill="1" applyBorder="1" applyAlignment="1">
      <alignment horizontal="justify" vertical="center" wrapText="1"/>
    </xf>
    <xf numFmtId="1" fontId="7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/>
    </xf>
    <xf numFmtId="1" fontId="4" fillId="0" borderId="0" xfId="0" applyNumberFormat="1" applyFont="1" applyFill="1" applyAlignment="1"/>
    <xf numFmtId="0" fontId="5" fillId="0" borderId="3" xfId="0" applyFont="1" applyFill="1" applyBorder="1" applyAlignment="1">
      <alignment vertical="center"/>
    </xf>
    <xf numFmtId="1" fontId="4" fillId="0" borderId="3" xfId="0" applyNumberFormat="1" applyFont="1" applyFill="1" applyBorder="1" applyAlignment="1">
      <alignment horizontal="right" vertical="center"/>
    </xf>
    <xf numFmtId="1" fontId="12" fillId="0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1" fontId="4" fillId="0" borderId="1" xfId="0" applyNumberFormat="1" applyFont="1" applyFill="1" applyBorder="1" applyAlignment="1">
      <alignment horizontal="right"/>
    </xf>
    <xf numFmtId="1" fontId="1" fillId="0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8"/>
  <sheetViews>
    <sheetView tabSelected="1" view="pageBreakPreview" zoomScaleNormal="85" zoomScaleSheetLayoutView="100" workbookViewId="0">
      <pane xSplit="2" ySplit="5" topLeftCell="C15" activePane="bottomRight" state="frozen"/>
      <selection pane="topRight" activeCell="D1" sqref="D1"/>
      <selection pane="bottomLeft" activeCell="A6" sqref="A6"/>
      <selection pane="bottomRight" activeCell="C16" sqref="C16"/>
    </sheetView>
  </sheetViews>
  <sheetFormatPr defaultRowHeight="15.75" x14ac:dyDescent="0.25"/>
  <cols>
    <col min="1" max="1" width="6.5703125" style="11" customWidth="1"/>
    <col min="2" max="2" width="31.5703125" style="14" customWidth="1"/>
    <col min="3" max="4" width="11.140625" style="15" customWidth="1"/>
    <col min="5" max="6" width="11.140625" style="1" customWidth="1"/>
    <col min="7" max="16384" width="9.140625" style="22"/>
  </cols>
  <sheetData>
    <row r="2" spans="1:8" ht="15" customHeight="1" x14ac:dyDescent="0.25">
      <c r="B2" s="33" t="s">
        <v>50</v>
      </c>
      <c r="C2" s="33"/>
      <c r="D2" s="33"/>
      <c r="E2" s="33"/>
      <c r="F2" s="33"/>
    </row>
    <row r="3" spans="1:8" x14ac:dyDescent="0.25">
      <c r="A3" s="17"/>
      <c r="B3" s="12"/>
      <c r="C3" s="13"/>
      <c r="D3" s="22"/>
      <c r="E3" s="18" t="s">
        <v>52</v>
      </c>
      <c r="F3" s="19"/>
    </row>
    <row r="4" spans="1:8" ht="51" x14ac:dyDescent="0.25">
      <c r="A4" s="25" t="s">
        <v>31</v>
      </c>
      <c r="B4" s="25" t="s">
        <v>37</v>
      </c>
      <c r="C4" s="24" t="s">
        <v>38</v>
      </c>
      <c r="D4" s="24" t="s">
        <v>39</v>
      </c>
      <c r="E4" s="24" t="s">
        <v>43</v>
      </c>
      <c r="F4" s="24" t="s">
        <v>44</v>
      </c>
      <c r="G4" s="24" t="s">
        <v>48</v>
      </c>
      <c r="H4" s="24" t="s">
        <v>51</v>
      </c>
    </row>
    <row r="5" spans="1:8" ht="15" x14ac:dyDescent="0.25">
      <c r="A5" s="6">
        <v>1</v>
      </c>
      <c r="B5" s="4" t="s">
        <v>25</v>
      </c>
      <c r="C5" s="3">
        <v>3850</v>
      </c>
      <c r="D5" s="2">
        <v>2750</v>
      </c>
      <c r="E5" s="2">
        <v>2650</v>
      </c>
      <c r="F5" s="2">
        <v>2600</v>
      </c>
      <c r="G5" s="2">
        <v>2400</v>
      </c>
      <c r="H5" s="2">
        <v>1800</v>
      </c>
    </row>
    <row r="6" spans="1:8" ht="15" x14ac:dyDescent="0.25">
      <c r="A6" s="6">
        <v>2</v>
      </c>
      <c r="B6" s="4" t="s">
        <v>22</v>
      </c>
      <c r="C6" s="3">
        <v>1295</v>
      </c>
      <c r="D6" s="2">
        <v>1250</v>
      </c>
      <c r="E6" s="2">
        <v>1305</v>
      </c>
      <c r="F6" s="2">
        <v>1305</v>
      </c>
      <c r="G6" s="2">
        <v>1295</v>
      </c>
      <c r="H6" s="2">
        <v>1295</v>
      </c>
    </row>
    <row r="7" spans="1:8" ht="15" x14ac:dyDescent="0.25">
      <c r="A7" s="6">
        <v>3</v>
      </c>
      <c r="B7" s="4" t="s">
        <v>21</v>
      </c>
      <c r="C7" s="3">
        <v>1693</v>
      </c>
      <c r="D7" s="2">
        <v>1740</v>
      </c>
      <c r="E7" s="2">
        <v>1775</v>
      </c>
      <c r="F7" s="2">
        <v>1790</v>
      </c>
      <c r="G7" s="2">
        <v>1790</v>
      </c>
      <c r="H7" s="2">
        <v>1850</v>
      </c>
    </row>
    <row r="8" spans="1:8" ht="15" x14ac:dyDescent="0.25">
      <c r="A8" s="6">
        <v>4</v>
      </c>
      <c r="B8" s="4" t="s">
        <v>40</v>
      </c>
      <c r="C8" s="3">
        <v>31.376999999999999</v>
      </c>
      <c r="D8" s="2">
        <v>35.984999999999999</v>
      </c>
      <c r="E8" s="2">
        <v>38.030999999999999</v>
      </c>
      <c r="F8" s="2">
        <v>32.603000000000009</v>
      </c>
      <c r="G8" s="2">
        <v>34.766000000000005</v>
      </c>
      <c r="H8" s="2">
        <v>41.39</v>
      </c>
    </row>
    <row r="9" spans="1:8" ht="15" x14ac:dyDescent="0.25">
      <c r="A9" s="6">
        <v>5</v>
      </c>
      <c r="B9" s="4" t="s">
        <v>20</v>
      </c>
      <c r="C9" s="3">
        <v>1967</v>
      </c>
      <c r="D9" s="2">
        <v>2246</v>
      </c>
      <c r="E9" s="2">
        <v>2463</v>
      </c>
      <c r="F9" s="2">
        <v>2275</v>
      </c>
      <c r="G9" s="2">
        <v>2125</v>
      </c>
      <c r="H9" s="2">
        <v>2078</v>
      </c>
    </row>
    <row r="10" spans="1:8" ht="15" x14ac:dyDescent="0.25">
      <c r="A10" s="6">
        <v>6</v>
      </c>
      <c r="B10" s="4" t="s">
        <v>41</v>
      </c>
      <c r="C10" s="3">
        <v>4200</v>
      </c>
      <c r="D10" s="3">
        <v>4220</v>
      </c>
      <c r="E10" s="3">
        <v>4220</v>
      </c>
      <c r="F10" s="3">
        <v>4219</v>
      </c>
      <c r="G10" s="2">
        <v>4220</v>
      </c>
      <c r="H10" s="2">
        <v>4215</v>
      </c>
    </row>
    <row r="11" spans="1:8" ht="15" x14ac:dyDescent="0.25">
      <c r="A11" s="6">
        <v>7</v>
      </c>
      <c r="B11" s="4" t="s">
        <v>19</v>
      </c>
      <c r="C11" s="3">
        <v>0</v>
      </c>
      <c r="D11" s="2">
        <v>278.99</v>
      </c>
      <c r="E11" s="2">
        <v>470.34629999999999</v>
      </c>
      <c r="F11" s="2">
        <v>1507.1870999999999</v>
      </c>
      <c r="G11" s="2">
        <v>1377.8309999999999</v>
      </c>
      <c r="H11" s="2">
        <v>1332.1005399999999</v>
      </c>
    </row>
    <row r="12" spans="1:8" ht="15" x14ac:dyDescent="0.25">
      <c r="A12" s="6">
        <v>33</v>
      </c>
      <c r="B12" s="4" t="s">
        <v>42</v>
      </c>
      <c r="C12" s="3">
        <v>4199.3019999999997</v>
      </c>
      <c r="D12" s="3">
        <v>4246.95</v>
      </c>
      <c r="E12" s="2">
        <v>8324.5830000000005</v>
      </c>
      <c r="F12" s="2">
        <v>8919.17</v>
      </c>
      <c r="G12" s="2">
        <v>8845.1090000000004</v>
      </c>
      <c r="H12" s="2">
        <v>8845.3809999999994</v>
      </c>
    </row>
    <row r="13" spans="1:8" ht="15" x14ac:dyDescent="0.25">
      <c r="A13" s="6">
        <v>8</v>
      </c>
      <c r="B13" s="4" t="s">
        <v>18</v>
      </c>
      <c r="C13" s="3">
        <v>710</v>
      </c>
      <c r="D13" s="2">
        <v>710</v>
      </c>
      <c r="E13" s="2">
        <v>760</v>
      </c>
      <c r="F13" s="2">
        <v>725</v>
      </c>
      <c r="G13" s="2">
        <v>1005</v>
      </c>
      <c r="H13" s="2">
        <v>1470.2249999999999</v>
      </c>
    </row>
    <row r="14" spans="1:8" ht="15" x14ac:dyDescent="0.25">
      <c r="A14" s="6">
        <v>9</v>
      </c>
      <c r="B14" s="4" t="s">
        <v>17</v>
      </c>
      <c r="C14" s="3">
        <v>1900</v>
      </c>
      <c r="D14" s="2">
        <v>1900</v>
      </c>
      <c r="E14" s="2">
        <v>2100</v>
      </c>
      <c r="F14" s="2">
        <v>2100</v>
      </c>
      <c r="G14" s="2">
        <v>2100</v>
      </c>
      <c r="H14" s="2">
        <v>2100</v>
      </c>
    </row>
    <row r="15" spans="1:8" ht="15" x14ac:dyDescent="0.25">
      <c r="A15" s="6">
        <v>10</v>
      </c>
      <c r="B15" s="4" t="s">
        <v>16</v>
      </c>
      <c r="C15" s="3">
        <v>588.24699999999996</v>
      </c>
      <c r="D15" s="2">
        <v>431.06799999999998</v>
      </c>
      <c r="E15" s="2">
        <v>478.55500000000001</v>
      </c>
      <c r="F15" s="2">
        <v>453.56</v>
      </c>
      <c r="G15" s="2">
        <v>577.84199999999998</v>
      </c>
      <c r="H15" s="2">
        <v>527.58699999999999</v>
      </c>
    </row>
    <row r="16" spans="1:8" ht="15" x14ac:dyDescent="0.25">
      <c r="A16" s="6">
        <v>11</v>
      </c>
      <c r="B16" s="4" t="s">
        <v>15</v>
      </c>
      <c r="C16" s="3">
        <v>777</v>
      </c>
      <c r="D16" s="2">
        <v>829</v>
      </c>
      <c r="E16" s="2">
        <v>845</v>
      </c>
      <c r="F16" s="2">
        <v>805</v>
      </c>
      <c r="G16" s="2">
        <v>884.45</v>
      </c>
      <c r="H16" s="2">
        <v>762.1</v>
      </c>
    </row>
    <row r="17" spans="1:8" ht="15" x14ac:dyDescent="0.25">
      <c r="A17" s="6">
        <v>12</v>
      </c>
      <c r="B17" s="4" t="s">
        <v>14</v>
      </c>
      <c r="C17" s="3">
        <v>14396</v>
      </c>
      <c r="D17" s="2">
        <v>15881</v>
      </c>
      <c r="E17" s="2">
        <v>15457</v>
      </c>
      <c r="F17" s="2">
        <v>15459</v>
      </c>
      <c r="G17" s="2">
        <v>9884</v>
      </c>
      <c r="H17" s="2">
        <v>10104</v>
      </c>
    </row>
    <row r="18" spans="1:8" ht="15" x14ac:dyDescent="0.25">
      <c r="A18" s="6">
        <v>13</v>
      </c>
      <c r="B18" s="4" t="s">
        <v>10</v>
      </c>
      <c r="C18" s="3">
        <v>1290</v>
      </c>
      <c r="D18" s="2">
        <v>1288</v>
      </c>
      <c r="E18" s="2">
        <v>1405</v>
      </c>
      <c r="F18" s="2">
        <v>1373</v>
      </c>
      <c r="G18" s="2">
        <v>1373</v>
      </c>
      <c r="H18" s="2">
        <v>1319</v>
      </c>
    </row>
    <row r="19" spans="1:8" ht="15" x14ac:dyDescent="0.25">
      <c r="A19" s="6">
        <v>14</v>
      </c>
      <c r="B19" s="4" t="s">
        <v>9</v>
      </c>
      <c r="C19" s="3">
        <v>5700</v>
      </c>
      <c r="D19" s="2">
        <v>5350</v>
      </c>
      <c r="E19" s="2">
        <v>6037</v>
      </c>
      <c r="F19" s="2">
        <v>5803</v>
      </c>
      <c r="G19" s="2">
        <v>5500</v>
      </c>
      <c r="H19" s="2">
        <v>5630</v>
      </c>
    </row>
    <row r="20" spans="1:8" ht="15" x14ac:dyDescent="0.25">
      <c r="A20" s="6">
        <v>15</v>
      </c>
      <c r="B20" s="4" t="s">
        <v>8</v>
      </c>
      <c r="C20" s="3">
        <v>2590</v>
      </c>
      <c r="D20" s="2">
        <v>2450</v>
      </c>
      <c r="E20" s="2">
        <v>2200</v>
      </c>
      <c r="F20" s="2">
        <v>2000</v>
      </c>
      <c r="G20" s="2">
        <v>2004</v>
      </c>
      <c r="H20" s="2">
        <v>2020</v>
      </c>
    </row>
    <row r="21" spans="1:8" ht="15" x14ac:dyDescent="0.25">
      <c r="A21" s="6">
        <v>16</v>
      </c>
      <c r="B21" s="4" t="s">
        <v>6</v>
      </c>
      <c r="C21" s="3">
        <v>2046</v>
      </c>
      <c r="D21" s="2">
        <v>2064</v>
      </c>
      <c r="E21" s="2">
        <v>2127</v>
      </c>
      <c r="F21" s="2">
        <v>2053</v>
      </c>
      <c r="G21" s="2">
        <v>2140</v>
      </c>
      <c r="H21" s="2">
        <v>2175</v>
      </c>
    </row>
    <row r="22" spans="1:8" ht="15" x14ac:dyDescent="0.25">
      <c r="A22" s="6">
        <v>17</v>
      </c>
      <c r="B22" s="4" t="s">
        <v>32</v>
      </c>
      <c r="C22" s="3">
        <v>6535</v>
      </c>
      <c r="D22" s="2">
        <v>6556</v>
      </c>
      <c r="E22" s="2">
        <v>6556</v>
      </c>
      <c r="F22" s="2">
        <v>6578</v>
      </c>
      <c r="G22" s="2">
        <v>6459</v>
      </c>
      <c r="H22" s="2">
        <v>6469</v>
      </c>
    </row>
    <row r="23" spans="1:8" ht="15" x14ac:dyDescent="0.25">
      <c r="A23" s="6">
        <v>18</v>
      </c>
      <c r="B23" s="4" t="s">
        <v>5</v>
      </c>
      <c r="C23" s="3">
        <v>11850</v>
      </c>
      <c r="D23" s="2">
        <v>11795</v>
      </c>
      <c r="E23" s="2">
        <v>11801</v>
      </c>
      <c r="F23" s="2">
        <v>14610</v>
      </c>
      <c r="G23" s="2">
        <v>14620</v>
      </c>
      <c r="H23" s="2">
        <v>14760</v>
      </c>
    </row>
    <row r="24" spans="1:8" ht="15" x14ac:dyDescent="0.25">
      <c r="A24" s="6">
        <v>19</v>
      </c>
      <c r="B24" s="4" t="s">
        <v>30</v>
      </c>
      <c r="C24" s="3">
        <v>150.98099999999999</v>
      </c>
      <c r="D24" s="2">
        <v>286.69</v>
      </c>
      <c r="E24" s="2">
        <v>276.911</v>
      </c>
      <c r="F24" s="2">
        <v>219.17599999999999</v>
      </c>
      <c r="G24" s="2">
        <v>117.34699999999999</v>
      </c>
      <c r="H24" s="2">
        <v>114.569</v>
      </c>
    </row>
    <row r="25" spans="1:8" ht="15" x14ac:dyDescent="0.25">
      <c r="A25" s="6">
        <v>20</v>
      </c>
      <c r="B25" s="4" t="s">
        <v>4</v>
      </c>
      <c r="C25" s="3">
        <v>4400</v>
      </c>
      <c r="D25" s="2">
        <v>4400</v>
      </c>
      <c r="E25" s="2">
        <v>4400</v>
      </c>
      <c r="F25" s="2">
        <v>4068</v>
      </c>
      <c r="G25" s="2">
        <v>4600</v>
      </c>
      <c r="H25" s="2">
        <v>4570</v>
      </c>
    </row>
    <row r="26" spans="1:8" ht="15" x14ac:dyDescent="0.25">
      <c r="A26" s="36" t="s">
        <v>28</v>
      </c>
      <c r="B26" s="36"/>
      <c r="C26" s="37">
        <f t="shared" ref="C26:F26" si="0">SUM(C5:C25)</f>
        <v>70168.907000000007</v>
      </c>
      <c r="D26" s="37">
        <f t="shared" si="0"/>
        <v>70708.683000000005</v>
      </c>
      <c r="E26" s="37">
        <f t="shared" si="0"/>
        <v>75689.426299999992</v>
      </c>
      <c r="F26" s="37">
        <f t="shared" si="0"/>
        <v>78894.696100000001</v>
      </c>
      <c r="G26" s="37">
        <f t="shared" ref="G26" si="1">SUM(G5:G25)</f>
        <v>73352.344999999987</v>
      </c>
      <c r="H26" s="37">
        <f t="shared" ref="H26" si="2">SUM(H5:H25)</f>
        <v>73478.352540000007</v>
      </c>
    </row>
    <row r="27" spans="1:8" ht="15" x14ac:dyDescent="0.25">
      <c r="A27" s="26" t="s">
        <v>26</v>
      </c>
      <c r="B27" s="7"/>
      <c r="C27" s="29"/>
      <c r="D27" s="5"/>
      <c r="E27" s="5"/>
      <c r="F27" s="5"/>
      <c r="G27" s="2"/>
      <c r="H27" s="2"/>
    </row>
    <row r="28" spans="1:8" ht="15" x14ac:dyDescent="0.25">
      <c r="A28" s="6">
        <v>21</v>
      </c>
      <c r="B28" s="4" t="s">
        <v>23</v>
      </c>
      <c r="C28" s="3">
        <v>1.9500000000000002</v>
      </c>
      <c r="D28" s="10">
        <v>0.4</v>
      </c>
      <c r="E28" s="2">
        <v>2.5499999999999998</v>
      </c>
      <c r="F28" s="30" t="s">
        <v>33</v>
      </c>
      <c r="G28" s="2">
        <v>0</v>
      </c>
      <c r="H28" s="2">
        <v>0</v>
      </c>
    </row>
    <row r="29" spans="1:8" ht="15" x14ac:dyDescent="0.25">
      <c r="A29" s="6">
        <v>22</v>
      </c>
      <c r="B29" s="4" t="s">
        <v>24</v>
      </c>
      <c r="C29" s="3">
        <v>419.5</v>
      </c>
      <c r="D29" s="2">
        <v>474.17999999999995</v>
      </c>
      <c r="E29" s="2">
        <v>543.04999999999995</v>
      </c>
      <c r="F29" s="2">
        <v>561.79999999999995</v>
      </c>
      <c r="G29" s="2">
        <v>500.25</v>
      </c>
      <c r="H29" s="2">
        <v>533.15000000000009</v>
      </c>
    </row>
    <row r="30" spans="1:8" ht="15" x14ac:dyDescent="0.25">
      <c r="A30" s="6">
        <v>23</v>
      </c>
      <c r="B30" s="4" t="s">
        <v>13</v>
      </c>
      <c r="C30" s="3">
        <v>27.299999999999997</v>
      </c>
      <c r="D30" s="30" t="s">
        <v>33</v>
      </c>
      <c r="E30" s="2">
        <v>28.550000000000004</v>
      </c>
      <c r="F30" s="2">
        <v>28.74</v>
      </c>
      <c r="G30" s="2">
        <v>29.55</v>
      </c>
      <c r="H30" s="2">
        <v>42.74</v>
      </c>
    </row>
    <row r="31" spans="1:8" ht="15" x14ac:dyDescent="0.25">
      <c r="A31" s="6">
        <v>24</v>
      </c>
      <c r="B31" s="4" t="s">
        <v>12</v>
      </c>
      <c r="C31" s="30" t="s">
        <v>33</v>
      </c>
      <c r="D31" s="30" t="s">
        <v>33</v>
      </c>
      <c r="E31" s="2">
        <v>16.760999999999999</v>
      </c>
      <c r="F31" s="30" t="s">
        <v>33</v>
      </c>
      <c r="G31" s="2">
        <v>0</v>
      </c>
      <c r="H31" s="2">
        <v>0</v>
      </c>
    </row>
    <row r="32" spans="1:8" ht="15" x14ac:dyDescent="0.25">
      <c r="A32" s="6">
        <v>25</v>
      </c>
      <c r="B32" s="4" t="s">
        <v>11</v>
      </c>
      <c r="C32" s="30" t="s">
        <v>33</v>
      </c>
      <c r="D32" s="2">
        <v>189</v>
      </c>
      <c r="E32" s="2">
        <v>199</v>
      </c>
      <c r="F32" s="2">
        <v>85.38</v>
      </c>
      <c r="G32" s="2">
        <v>59.75</v>
      </c>
      <c r="H32" s="2">
        <v>49.39</v>
      </c>
    </row>
    <row r="33" spans="1:8" ht="15" x14ac:dyDescent="0.25">
      <c r="A33" s="6">
        <v>26</v>
      </c>
      <c r="B33" s="4" t="s">
        <v>45</v>
      </c>
      <c r="C33" s="3">
        <v>50.82</v>
      </c>
      <c r="D33" s="3">
        <v>63.22</v>
      </c>
      <c r="E33" s="30" t="s">
        <v>33</v>
      </c>
      <c r="F33" s="3">
        <v>38.46</v>
      </c>
      <c r="G33" s="2">
        <v>31.802350000000001</v>
      </c>
      <c r="H33" s="2">
        <v>24.045999999999999</v>
      </c>
    </row>
    <row r="34" spans="1:8" ht="15" x14ac:dyDescent="0.25">
      <c r="A34" s="6">
        <v>27</v>
      </c>
      <c r="B34" s="4" t="s">
        <v>7</v>
      </c>
      <c r="C34" s="9" t="s">
        <v>35</v>
      </c>
      <c r="D34" s="9" t="s">
        <v>35</v>
      </c>
      <c r="E34" s="9" t="s">
        <v>35</v>
      </c>
      <c r="F34" s="9" t="s">
        <v>35</v>
      </c>
      <c r="G34" s="2">
        <v>0</v>
      </c>
      <c r="H34" s="2">
        <v>0</v>
      </c>
    </row>
    <row r="35" spans="1:8" ht="15" x14ac:dyDescent="0.25">
      <c r="A35" s="6">
        <v>28</v>
      </c>
      <c r="B35" s="4" t="s">
        <v>46</v>
      </c>
      <c r="C35" s="8" t="s">
        <v>33</v>
      </c>
      <c r="D35" s="8" t="s">
        <v>33</v>
      </c>
      <c r="E35" s="8" t="s">
        <v>33</v>
      </c>
      <c r="F35" s="3">
        <v>55.892000000000003</v>
      </c>
      <c r="G35" s="2">
        <v>92.4</v>
      </c>
      <c r="H35" s="2">
        <v>97.84</v>
      </c>
    </row>
    <row r="36" spans="1:8" ht="15" x14ac:dyDescent="0.25">
      <c r="A36" s="36" t="s">
        <v>28</v>
      </c>
      <c r="B36" s="36"/>
      <c r="C36" s="37">
        <f t="shared" ref="C36:H36" si="3">SUM(C28:C35)</f>
        <v>499.57</v>
      </c>
      <c r="D36" s="37">
        <f t="shared" si="3"/>
        <v>726.8</v>
      </c>
      <c r="E36" s="37">
        <f t="shared" si="3"/>
        <v>789.91099999999983</v>
      </c>
      <c r="F36" s="37">
        <f t="shared" si="3"/>
        <v>770.27200000000005</v>
      </c>
      <c r="G36" s="37">
        <f t="shared" si="3"/>
        <v>713.75234999999998</v>
      </c>
      <c r="H36" s="37">
        <f t="shared" si="3"/>
        <v>747.16600000000017</v>
      </c>
    </row>
    <row r="37" spans="1:8" ht="15" x14ac:dyDescent="0.25">
      <c r="A37" s="26" t="s">
        <v>27</v>
      </c>
      <c r="B37" s="28"/>
      <c r="C37" s="29"/>
      <c r="D37" s="5"/>
      <c r="E37" s="5"/>
      <c r="F37" s="5"/>
      <c r="G37" s="2"/>
      <c r="H37" s="2"/>
    </row>
    <row r="38" spans="1:8" ht="15" x14ac:dyDescent="0.25">
      <c r="A38" s="6">
        <v>29</v>
      </c>
      <c r="B38" s="4" t="s">
        <v>3</v>
      </c>
      <c r="C38" s="30" t="s">
        <v>33</v>
      </c>
      <c r="D38" s="30" t="s">
        <v>33</v>
      </c>
      <c r="E38" s="30" t="s">
        <v>33</v>
      </c>
      <c r="F38" s="31">
        <v>0.8580000000000001</v>
      </c>
      <c r="G38" s="30" t="s">
        <v>33</v>
      </c>
      <c r="H38" s="30" t="s">
        <v>33</v>
      </c>
    </row>
    <row r="39" spans="1:8" ht="15" x14ac:dyDescent="0.25">
      <c r="A39" s="6">
        <v>30</v>
      </c>
      <c r="B39" s="4" t="s">
        <v>2</v>
      </c>
      <c r="C39" s="30" t="s">
        <v>33</v>
      </c>
      <c r="D39" s="30" t="s">
        <v>33</v>
      </c>
      <c r="E39" s="30" t="s">
        <v>33</v>
      </c>
      <c r="F39" s="30" t="s">
        <v>33</v>
      </c>
      <c r="G39" s="30" t="s">
        <v>33</v>
      </c>
      <c r="H39" s="30" t="s">
        <v>33</v>
      </c>
    </row>
    <row r="40" spans="1:8" ht="15" x14ac:dyDescent="0.25">
      <c r="A40" s="6">
        <v>31</v>
      </c>
      <c r="B40" s="23" t="s">
        <v>36</v>
      </c>
      <c r="C40" s="30" t="s">
        <v>33</v>
      </c>
      <c r="D40" s="30" t="s">
        <v>33</v>
      </c>
      <c r="E40" s="30" t="s">
        <v>33</v>
      </c>
      <c r="F40" s="30" t="s">
        <v>33</v>
      </c>
      <c r="G40" s="30" t="s">
        <v>33</v>
      </c>
      <c r="H40" s="30" t="s">
        <v>33</v>
      </c>
    </row>
    <row r="41" spans="1:8" ht="15" x14ac:dyDescent="0.25">
      <c r="A41" s="6">
        <v>32</v>
      </c>
      <c r="B41" s="4" t="s">
        <v>1</v>
      </c>
      <c r="C41" s="30" t="s">
        <v>33</v>
      </c>
      <c r="D41" s="30" t="s">
        <v>33</v>
      </c>
      <c r="E41" s="30" t="s">
        <v>33</v>
      </c>
      <c r="F41" s="30" t="s">
        <v>33</v>
      </c>
      <c r="G41" s="30" t="s">
        <v>33</v>
      </c>
      <c r="H41" s="30" t="s">
        <v>33</v>
      </c>
    </row>
    <row r="42" spans="1:8" ht="15" x14ac:dyDescent="0.25">
      <c r="A42" s="6">
        <v>34</v>
      </c>
      <c r="B42" s="4" t="s">
        <v>34</v>
      </c>
      <c r="C42" s="30" t="s">
        <v>33</v>
      </c>
      <c r="D42" s="30" t="s">
        <v>33</v>
      </c>
      <c r="E42" s="30" t="s">
        <v>33</v>
      </c>
      <c r="F42" s="30" t="s">
        <v>33</v>
      </c>
      <c r="G42" s="30" t="s">
        <v>33</v>
      </c>
      <c r="H42" s="30" t="s">
        <v>33</v>
      </c>
    </row>
    <row r="43" spans="1:8" ht="15" x14ac:dyDescent="0.25">
      <c r="A43" s="6">
        <v>35</v>
      </c>
      <c r="B43" s="4" t="s">
        <v>0</v>
      </c>
      <c r="C43" s="30" t="s">
        <v>33</v>
      </c>
      <c r="D43" s="30" t="s">
        <v>33</v>
      </c>
      <c r="E43" s="30" t="s">
        <v>33</v>
      </c>
      <c r="F43" s="30" t="s">
        <v>33</v>
      </c>
      <c r="G43" s="30" t="s">
        <v>33</v>
      </c>
      <c r="H43" s="30" t="s">
        <v>33</v>
      </c>
    </row>
    <row r="44" spans="1:8" ht="15" x14ac:dyDescent="0.25">
      <c r="A44" s="6">
        <v>36</v>
      </c>
      <c r="B44" s="4" t="s">
        <v>49</v>
      </c>
      <c r="C44" s="30" t="s">
        <v>33</v>
      </c>
      <c r="D44" s="30" t="s">
        <v>33</v>
      </c>
      <c r="E44" s="30" t="s">
        <v>33</v>
      </c>
      <c r="F44" s="8">
        <v>40.084599999999995</v>
      </c>
      <c r="G44" s="30" t="s">
        <v>33</v>
      </c>
      <c r="H44" s="30" t="s">
        <v>33</v>
      </c>
    </row>
    <row r="45" spans="1:8" x14ac:dyDescent="0.25">
      <c r="A45" s="35" t="s">
        <v>28</v>
      </c>
      <c r="B45" s="35"/>
      <c r="C45" s="32">
        <f t="shared" ref="C45:H45" si="4">SUM(C38:C44)</f>
        <v>0</v>
      </c>
      <c r="D45" s="32">
        <f t="shared" si="4"/>
        <v>0</v>
      </c>
      <c r="E45" s="32">
        <f t="shared" si="4"/>
        <v>0</v>
      </c>
      <c r="F45" s="32">
        <f t="shared" si="4"/>
        <v>40.942599999999992</v>
      </c>
      <c r="G45" s="32">
        <f t="shared" si="4"/>
        <v>0</v>
      </c>
      <c r="H45" s="32">
        <f t="shared" si="4"/>
        <v>0</v>
      </c>
    </row>
    <row r="46" spans="1:8" ht="15" x14ac:dyDescent="0.25">
      <c r="A46" s="36" t="s">
        <v>29</v>
      </c>
      <c r="B46" s="36"/>
      <c r="C46" s="37">
        <v>70668.476999999999</v>
      </c>
      <c r="D46" s="37">
        <v>71435.483000000007</v>
      </c>
      <c r="E46" s="37">
        <v>76479.337299999999</v>
      </c>
      <c r="F46" s="37">
        <v>79705.910700000008</v>
      </c>
      <c r="G46" s="34">
        <v>74066.097349999982</v>
      </c>
      <c r="H46" s="34">
        <v>74225.518540000005</v>
      </c>
    </row>
    <row r="47" spans="1:8" ht="15" x14ac:dyDescent="0.25">
      <c r="A47" s="27" t="s">
        <v>47</v>
      </c>
      <c r="B47" s="21"/>
      <c r="C47" s="20"/>
      <c r="D47" s="20"/>
      <c r="E47" s="20"/>
      <c r="F47" s="20"/>
      <c r="G47" s="2"/>
      <c r="H47" s="2"/>
    </row>
    <row r="48" spans="1:8" x14ac:dyDescent="0.25">
      <c r="E48" s="16"/>
      <c r="F48" s="16"/>
    </row>
  </sheetData>
  <mergeCells count="4">
    <mergeCell ref="A26:B26"/>
    <mergeCell ref="A36:B36"/>
    <mergeCell ref="A45:B45"/>
    <mergeCell ref="A46:B46"/>
  </mergeCells>
  <pageMargins left="0.46" right="0.27559055118110237" top="0.51181102362204722" bottom="0.74803149606299213" header="0.31496062992125984" footer="0.31496062992125984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WebMaterialNov25</vt:lpstr>
      <vt:lpstr>WebMaterialNov25!Print_Area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2026-01-23T08:46:51Z</dcterms:modified>
</cp:coreProperties>
</file>